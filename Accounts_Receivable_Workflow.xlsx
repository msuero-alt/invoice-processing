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updateLinks="always" defaultThemeVersion="166925"/>
  <xr:revisionPtr revIDLastSave="0" documentId="8_{A179049D-0E46-4AA9-8C1C-48517992265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Invoices" sheetId="1" r:id="rId1"/>
    <sheet name="Payments" sheetId="2" r:id="rId2"/>
    <sheet name="Summary" sheetId="3" r:id="rId3"/>
  </sheets>
  <calcPr calcId="191028"/>
  <pivotCaches>
    <pivotCache cacheId="1621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/>
  <c r="B11" i="1"/>
  <c r="B10" i="1"/>
  <c r="B9" i="1"/>
  <c r="B8" i="1"/>
  <c r="B7" i="1"/>
  <c r="F6" i="2"/>
  <c r="F5" i="2"/>
  <c r="F4" i="2"/>
  <c r="F3" i="2"/>
  <c r="F2" i="2"/>
  <c r="B6" i="1"/>
  <c r="B5" i="1"/>
  <c r="B3" i="1"/>
  <c r="B4" i="1"/>
  <c r="B2" i="1"/>
  <c r="G4" i="2"/>
  <c r="G2" i="2"/>
  <c r="G6" i="2"/>
  <c r="G5" i="2"/>
  <c r="G3" i="2"/>
  <c r="I5" i="1"/>
  <c r="I3" i="1"/>
  <c r="I4" i="1"/>
  <c r="I11" i="1"/>
  <c r="J3" i="1"/>
  <c r="J4" i="1"/>
  <c r="I10" i="1"/>
  <c r="J10" i="1"/>
  <c r="J11" i="1"/>
  <c r="J9" i="1"/>
  <c r="I8" i="1"/>
  <c r="J8" i="1" s="1"/>
  <c r="I7" i="1"/>
  <c r="J7" i="1" s="1"/>
  <c r="I6" i="1"/>
  <c r="J6" i="1" s="1"/>
  <c r="J5" i="1"/>
  <c r="I2" i="1"/>
  <c r="J2" i="1" s="1"/>
</calcChain>
</file>

<file path=xl/sharedStrings.xml><?xml version="1.0" encoding="utf-8"?>
<sst xmlns="http://schemas.openxmlformats.org/spreadsheetml/2006/main" count="66" uniqueCount="42">
  <si>
    <t>Invoice ID</t>
  </si>
  <si>
    <t>Invoice ID Clean</t>
  </si>
  <si>
    <t>Customer Name</t>
  </si>
  <si>
    <t>Invoice Date</t>
  </si>
  <si>
    <t>Due Date</t>
  </si>
  <si>
    <t>Invoice Amount</t>
  </si>
  <si>
    <t>Payment Received</t>
  </si>
  <si>
    <t>Payment Date</t>
  </si>
  <si>
    <t>Outstanding Amount</t>
  </si>
  <si>
    <t>Status</t>
  </si>
  <si>
    <t>INV1001</t>
  </si>
  <si>
    <t>Summit Tech Solutions</t>
  </si>
  <si>
    <t>INV1002</t>
  </si>
  <si>
    <t>Greenfield Supply Co</t>
  </si>
  <si>
    <t>INV1003</t>
  </si>
  <si>
    <t>Horizon Marketing</t>
  </si>
  <si>
    <t xml:space="preserve">INV1004 </t>
  </si>
  <si>
    <t>Maplewood Logistics</t>
  </si>
  <si>
    <t>INV1005</t>
  </si>
  <si>
    <t xml:space="preserve">Bluewater Consulting </t>
  </si>
  <si>
    <t>INV1006</t>
  </si>
  <si>
    <t>Northstar Retail Group</t>
  </si>
  <si>
    <t>INV1007</t>
  </si>
  <si>
    <t>Silverline Services</t>
  </si>
  <si>
    <t>INV1008</t>
  </si>
  <si>
    <t>Crestview Partners</t>
  </si>
  <si>
    <t>INV1009</t>
  </si>
  <si>
    <t>Redwood Manufacturing</t>
  </si>
  <si>
    <t>INV1010</t>
  </si>
  <si>
    <t>BrightPath Solutions</t>
  </si>
  <si>
    <t>Payment ID</t>
  </si>
  <si>
    <t>Amount Paid</t>
  </si>
  <si>
    <t>Check</t>
  </si>
  <si>
    <t>PAY1001</t>
  </si>
  <si>
    <t>PAY1002</t>
  </si>
  <si>
    <t>PAY1003</t>
  </si>
  <si>
    <t>INV1004</t>
  </si>
  <si>
    <t>PAY1004</t>
  </si>
  <si>
    <t>PAY1005</t>
  </si>
  <si>
    <t>Sum of Invoice Amount</t>
  </si>
  <si>
    <t>Sum of Outstanding Amount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</si>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</sst>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4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wrapText="1"/>
    </xf>
    <xf numFmtId="164" fontId="0" fillId="0" borderId="0" xfId="0" quotePrefix="1" applyNumberFormat="1"/>
    <xf numFmtId="0" fontId="0" fillId="0" borderId="0" xfId="0" pivotButton="1"/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07.422218055559" createdVersion="8" refreshedVersion="8" minRefreshableVersion="3" recordCount="10" xr:uid="{D47EADBF-03E2-4728-B236-B0183D51D3B9}">
  <cacheSource type="worksheet">
    <worksheetSource ref="A1:J11" sheet="Invoices"/>
  </cacheSource>
  <cacheFields count="9">
    <cacheField name="Invoice ID" numFmtId="0">
      <sharedItems/>
    </cacheField>
    <cacheField name="Customer Name" numFmtId="0">
      <sharedItems count="10">
        <s v="Summit Tech Solutions"/>
        <s v="Greenfield Supply Co"/>
        <s v="Horizon Marketing"/>
        <s v="Maplewood Logistics"/>
        <s v="Bluewater Consulting "/>
        <s v="Northstar Retail Group"/>
        <s v="Silverline Services"/>
        <s v="Crestview Partners"/>
        <s v="Redwood Manufacturing"/>
        <s v="BrightPath Solutions"/>
      </sharedItems>
    </cacheField>
    <cacheField name="Invoice Date" numFmtId="14">
      <sharedItems containsSemiMixedTypes="0" containsNonDate="0" containsDate="1" containsString="0" minDate="2026-02-28T00:00:00" maxDate="2026-03-21T00:00:00"/>
    </cacheField>
    <cacheField name="Due Date" numFmtId="14">
      <sharedItems containsSemiMixedTypes="0" containsNonDate="0" containsDate="1" containsString="0" minDate="2026-03-14T00:00:00" maxDate="2026-04-05T00:00:00"/>
    </cacheField>
    <cacheField name="Invoice Amount" numFmtId="0">
      <sharedItems containsSemiMixedTypes="0" containsString="0" containsNumber="1" containsInteger="1" minValue="400" maxValue="2000"/>
    </cacheField>
    <cacheField name="Payment Received" numFmtId="0">
      <sharedItems containsSemiMixedTypes="0" containsString="0" containsNumber="1" containsInteger="1" minValue="0" maxValue="2000"/>
    </cacheField>
    <cacheField name="Payment Date" numFmtId="0">
      <sharedItems containsDate="1" containsMixedTypes="1" minDate="2026-03-05T00:00:00" maxDate="2026-03-26T00:00:00"/>
    </cacheField>
    <cacheField name="Outstanding Amount" numFmtId="164">
      <sharedItems containsSemiMixedTypes="0" containsString="0" containsNumber="1" containsInteger="1" minValue="0" maxValue="950"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INV1001"/>
    <x v="0"/>
    <d v="2026-03-01T00:00:00"/>
    <d v="2026-03-15T00:00:00"/>
    <n v="1200"/>
    <n v="1200"/>
    <d v="2026-03-05T00:00:00"/>
    <n v="0"/>
    <s v="Paid"/>
  </r>
  <r>
    <s v="INV1002"/>
    <x v="1"/>
    <d v="2026-03-03T00:00:00"/>
    <d v="2026-03-17T00:00:00"/>
    <n v="800"/>
    <n v="400"/>
    <d v="2026-03-10T00:00:00"/>
    <n v="400"/>
    <s v="Overdue"/>
  </r>
  <r>
    <s v="INV1003"/>
    <x v="2"/>
    <d v="2026-02-28T00:00:00"/>
    <d v="2026-03-14T00:00:00"/>
    <n v="500"/>
    <n v="0"/>
    <s v="N/A"/>
    <n v="500"/>
    <s v="Overdue"/>
  </r>
  <r>
    <s v="INV1004 "/>
    <x v="3"/>
    <d v="2026-03-05T00:00:00"/>
    <d v="2026-03-20T00:00:00"/>
    <n v="1500"/>
    <n v="1500"/>
    <d v="2026-03-18T00:00:00"/>
    <n v="0"/>
    <s v="Paid"/>
  </r>
  <r>
    <s v="INV1005"/>
    <x v="4"/>
    <d v="2026-03-07T00:00:00"/>
    <d v="2026-03-22T00:00:00"/>
    <n v="950"/>
    <n v="0"/>
    <s v="N/A"/>
    <n v="950"/>
    <s v="Overdue"/>
  </r>
  <r>
    <s v="INV1006"/>
    <x v="5"/>
    <d v="2026-03-10T00:00:00"/>
    <d v="2026-03-25T00:00:00"/>
    <n v="600"/>
    <n v="600"/>
    <d v="2026-03-15T00:00:00"/>
    <n v="0"/>
    <s v="Paid"/>
  </r>
  <r>
    <s v="INV1007"/>
    <x v="6"/>
    <d v="2026-03-12T00:00:00"/>
    <d v="2026-03-27T00:00:00"/>
    <n v="1100"/>
    <n v="500"/>
    <d v="2026-03-20T00:00:00"/>
    <n v="600"/>
    <s v="Partial"/>
  </r>
  <r>
    <s v="INV1008"/>
    <x v="7"/>
    <d v="2026-03-15T00:00:00"/>
    <d v="2026-03-30T00:00:00"/>
    <n v="700"/>
    <n v="0"/>
    <s v="N/A"/>
    <n v="700"/>
    <s v="Partial"/>
  </r>
  <r>
    <s v="INV1009"/>
    <x v="8"/>
    <d v="2026-03-18T00:00:00"/>
    <d v="2026-04-01T00:00:00"/>
    <n v="2000"/>
    <n v="2000"/>
    <d v="2026-03-25T00:00:00"/>
    <n v="0"/>
    <s v="Paid"/>
  </r>
  <r>
    <s v="INV1010"/>
    <x v="9"/>
    <d v="2026-03-20T00:00:00"/>
    <d v="2026-04-04T00:00:00"/>
    <n v="400"/>
    <n v="0"/>
    <s v="N/A"/>
    <n v="400"/>
    <s v="Parti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C96DA8-9A13-4AD1-8E33-7DA6E87F4631}" name="PivotTable1" cacheId="162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C12" firstHeaderRow="0" firstDataRow="1" firstDataCol="1"/>
  <pivotFields count="9">
    <pivotField compact="0" outline="0" showAll="0"/>
    <pivotField axis="axisRow" compact="0" outline="0" showAll="0">
      <items count="11">
        <item x="4"/>
        <item x="9"/>
        <item x="7"/>
        <item x="1"/>
        <item x="2"/>
        <item x="3"/>
        <item x="5"/>
        <item x="8"/>
        <item x="6"/>
        <item x="0"/>
        <item t="default"/>
      </items>
    </pivotField>
    <pivotField compact="0" numFmtId="14" outline="0" showAll="0"/>
    <pivotField compact="0" numFmtId="14" outline="0" showAll="0"/>
    <pivotField dataField="1" compact="0" outline="0" showAll="0"/>
    <pivotField compact="0" outline="0" showAll="0"/>
    <pivotField compact="0" outline="0" showAll="0"/>
    <pivotField dataField="1" compact="0" numFmtId="164" outline="0" showAll="0"/>
    <pivotField compact="0" outline="0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Invoice Amount" fld="4" baseField="0" baseItem="0"/>
    <dataField name="Sum of Outstanding Amount" fld="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G11" sqref="G11"/>
    </sheetView>
  </sheetViews>
  <sheetFormatPr defaultRowHeight="15"/>
  <cols>
    <col min="1" max="2" width="16.140625" customWidth="1"/>
    <col min="3" max="3" width="27.42578125" customWidth="1"/>
    <col min="4" max="4" width="23.28515625" customWidth="1"/>
    <col min="5" max="5" width="10.5703125" bestFit="1" customWidth="1"/>
    <col min="6" max="6" width="25.5703125" customWidth="1"/>
    <col min="7" max="7" width="17.7109375" customWidth="1"/>
    <col min="8" max="8" width="27" customWidth="1"/>
    <col min="9" max="9" width="25" customWidth="1"/>
    <col min="10" max="10" width="21.85546875" customWidth="1"/>
  </cols>
  <sheetData>
    <row r="1" spans="1:10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1" t="str">
        <f>TRIM(A2)</f>
        <v>INV1001</v>
      </c>
      <c r="C2" t="s">
        <v>11</v>
      </c>
      <c r="D2" s="2">
        <v>46082</v>
      </c>
      <c r="E2" s="3">
        <v>46096</v>
      </c>
      <c r="F2">
        <v>1200</v>
      </c>
      <c r="G2">
        <v>1200</v>
      </c>
      <c r="H2" s="3">
        <v>46086</v>
      </c>
      <c r="I2" s="4">
        <f>F2-G2</f>
        <v>0</v>
      </c>
      <c r="J2" t="str">
        <f ca="1">IF(I2=0,"Paid",IF(TODAY()&gt;E2,"Overdue","Partial"))</f>
        <v>Paid</v>
      </c>
    </row>
    <row r="3" spans="1:10">
      <c r="A3" t="s">
        <v>12</v>
      </c>
      <c r="B3" t="str">
        <f>TRIM(A3)</f>
        <v>INV1002</v>
      </c>
      <c r="C3" t="s">
        <v>13</v>
      </c>
      <c r="D3" s="3">
        <v>46084</v>
      </c>
      <c r="E3" s="3">
        <v>46098</v>
      </c>
      <c r="F3">
        <v>800</v>
      </c>
      <c r="G3">
        <v>400</v>
      </c>
      <c r="H3" s="3">
        <v>46091</v>
      </c>
      <c r="I3" s="4">
        <f>F3-G3</f>
        <v>400</v>
      </c>
      <c r="J3" s="1" t="str">
        <f ca="1">IF(I3=0,"Paid",IF(TODAY()&gt;E3,"Overdue","Partial"))</f>
        <v>Overdue</v>
      </c>
    </row>
    <row r="4" spans="1:10" ht="14.25" customHeight="1">
      <c r="A4" s="1" t="s">
        <v>14</v>
      </c>
      <c r="B4" s="1" t="str">
        <f>TRIM(A4)</f>
        <v>INV1003</v>
      </c>
      <c r="C4" s="1" t="s">
        <v>15</v>
      </c>
      <c r="D4" s="2">
        <v>46081</v>
      </c>
      <c r="E4" s="3">
        <v>46095</v>
      </c>
      <c r="F4" s="1">
        <v>500</v>
      </c>
      <c r="G4">
        <v>0</v>
      </c>
      <c r="H4" s="3"/>
      <c r="I4" s="4">
        <f>F4-G4</f>
        <v>500</v>
      </c>
      <c r="J4" t="str">
        <f ca="1">IF(I4=0,"Paid",IF(TODAY()&gt;E4,"Overdue","Partial"))</f>
        <v>Overdue</v>
      </c>
    </row>
    <row r="5" spans="1:10" ht="14.25" customHeight="1">
      <c r="A5" s="1" t="s">
        <v>16</v>
      </c>
      <c r="B5" s="1" t="str">
        <f>TRIM(A5)</f>
        <v>INV1004</v>
      </c>
      <c r="C5" t="s">
        <v>17</v>
      </c>
      <c r="D5" s="3">
        <v>46086</v>
      </c>
      <c r="E5" s="3">
        <v>46101</v>
      </c>
      <c r="F5">
        <v>1500</v>
      </c>
      <c r="G5">
        <v>1500</v>
      </c>
      <c r="H5" s="2">
        <v>46099</v>
      </c>
      <c r="I5" s="4">
        <f>F5-G5</f>
        <v>0</v>
      </c>
      <c r="J5" t="str">
        <f ca="1">IF(I5=0,"Paid",IF(TODAY()&gt;E5,"Overdue","Partial"))</f>
        <v>Paid</v>
      </c>
    </row>
    <row r="6" spans="1:10">
      <c r="A6" t="s">
        <v>18</v>
      </c>
      <c r="B6" t="str">
        <f>TRIM(A6)</f>
        <v>INV1005</v>
      </c>
      <c r="C6" t="s">
        <v>19</v>
      </c>
      <c r="D6" s="3">
        <v>46088</v>
      </c>
      <c r="E6" s="3">
        <v>46103</v>
      </c>
      <c r="F6">
        <v>950</v>
      </c>
      <c r="G6">
        <v>0</v>
      </c>
      <c r="I6" s="5">
        <f>F6-G6</f>
        <v>950</v>
      </c>
      <c r="J6" s="1" t="str">
        <f ca="1">IF(I6=0,"Paid",IF(TODAY()&gt;E6,"Overdue","Partial"))</f>
        <v>Overdue</v>
      </c>
    </row>
    <row r="7" spans="1:10">
      <c r="A7" t="s">
        <v>20</v>
      </c>
      <c r="B7" t="str">
        <f>TRIM(A7)</f>
        <v>INV1006</v>
      </c>
      <c r="C7" t="s">
        <v>21</v>
      </c>
      <c r="D7" s="3">
        <v>46091</v>
      </c>
      <c r="E7" s="3">
        <v>46106</v>
      </c>
      <c r="F7">
        <v>600</v>
      </c>
      <c r="G7">
        <v>600</v>
      </c>
      <c r="H7" s="3">
        <v>46096</v>
      </c>
      <c r="I7" s="6">
        <f>F7-G7</f>
        <v>0</v>
      </c>
      <c r="J7" t="str">
        <f ca="1">IF(I7=0,"Paid",IF(TODAY()&gt;E7,"Overdue","Partial"))</f>
        <v>Paid</v>
      </c>
    </row>
    <row r="8" spans="1:10">
      <c r="A8" t="s">
        <v>22</v>
      </c>
      <c r="B8" t="str">
        <f>TRIM(A8)</f>
        <v>INV1007</v>
      </c>
      <c r="C8" t="s">
        <v>23</v>
      </c>
      <c r="D8" s="3">
        <v>46093</v>
      </c>
      <c r="E8" s="3">
        <v>46108</v>
      </c>
      <c r="F8">
        <v>1100</v>
      </c>
      <c r="G8">
        <v>500</v>
      </c>
      <c r="H8" s="3">
        <v>46101</v>
      </c>
      <c r="I8" s="4">
        <f>F8-G8</f>
        <v>600</v>
      </c>
      <c r="J8" t="str">
        <f ca="1">IF(I8=0,"Paid",IF(TODAY()&gt;E8,"Overdue","Partial"))</f>
        <v>Partial</v>
      </c>
    </row>
    <row r="9" spans="1:10">
      <c r="A9" t="s">
        <v>24</v>
      </c>
      <c r="B9" t="str">
        <f>TRIM(A9)</f>
        <v>INV1008</v>
      </c>
      <c r="C9" t="s">
        <v>25</v>
      </c>
      <c r="D9" s="3">
        <v>46096</v>
      </c>
      <c r="E9" s="3">
        <v>46111</v>
      </c>
      <c r="F9">
        <v>700</v>
      </c>
      <c r="G9">
        <v>0</v>
      </c>
      <c r="I9" s="4">
        <f>F9-G9</f>
        <v>700</v>
      </c>
      <c r="J9" t="str">
        <f ca="1">IF(I9=0,"Paid",IF(TODAY()&gt;E9,"Overdue","Partial"))</f>
        <v>Partial</v>
      </c>
    </row>
    <row r="10" spans="1:10">
      <c r="A10" t="s">
        <v>26</v>
      </c>
      <c r="B10" t="str">
        <f>TRIM(A10)</f>
        <v>INV1009</v>
      </c>
      <c r="C10" t="s">
        <v>27</v>
      </c>
      <c r="D10" s="3">
        <v>46099</v>
      </c>
      <c r="E10" s="3">
        <v>46113</v>
      </c>
      <c r="F10">
        <v>2000</v>
      </c>
      <c r="G10">
        <v>2000</v>
      </c>
      <c r="H10" s="3">
        <v>46106</v>
      </c>
      <c r="I10" s="4">
        <f>F10-G10</f>
        <v>0</v>
      </c>
      <c r="J10" t="str">
        <f ca="1">IF(I10=0,"Paid",IF(TODAY()&gt;E10,"Overdue","Partial"))</f>
        <v>Paid</v>
      </c>
    </row>
    <row r="11" spans="1:10">
      <c r="A11" t="s">
        <v>28</v>
      </c>
      <c r="B11" t="str">
        <f>TRIM(A11)</f>
        <v>INV1010</v>
      </c>
      <c r="C11" t="s">
        <v>29</v>
      </c>
      <c r="D11" s="3">
        <v>46101</v>
      </c>
      <c r="E11" s="3">
        <v>46116</v>
      </c>
      <c r="F11">
        <v>400</v>
      </c>
      <c r="G11">
        <v>0</v>
      </c>
      <c r="I11" s="4">
        <f>F11-G11</f>
        <v>400</v>
      </c>
      <c r="J11" t="str">
        <f ca="1">IF(I11=0,"Paid",IF(TODAY()&gt;E11,"Overdue","Partial"))</f>
        <v>Partial</v>
      </c>
    </row>
  </sheetData>
  <conditionalFormatting sqref="J2:J11">
    <cfRule type="containsText" dxfId="2" priority="3" operator="containsText" text="Overdue">
      <formula>NOT(ISERROR(SEARCH("Overdue",J2)))</formula>
    </cfRule>
  </conditionalFormatting>
  <conditionalFormatting sqref="J2:J11">
    <cfRule type="containsText" dxfId="1" priority="2" operator="containsText" text="Partial">
      <formula>NOT(ISERROR(SEARCH("Partial",J2)))</formula>
    </cfRule>
  </conditionalFormatting>
  <conditionalFormatting sqref="J2:J11">
    <cfRule type="containsText" dxfId="0" priority="1" operator="containsText" text="Paid">
      <formula>NOT(ISERROR(SEARCH("Paid",J2)))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FB5ED-22B6-4DBE-A068-E91C58DF8AB8}">
  <dimension ref="A1:G6"/>
  <sheetViews>
    <sheetView workbookViewId="0">
      <selection activeCell="D6" sqref="D6"/>
    </sheetView>
  </sheetViews>
  <sheetFormatPr defaultRowHeight="15"/>
  <cols>
    <col min="1" max="1" width="12.42578125" customWidth="1"/>
    <col min="2" max="2" width="22.5703125" customWidth="1"/>
    <col min="3" max="3" width="15.140625" customWidth="1"/>
    <col min="4" max="4" width="14.5703125" customWidth="1"/>
    <col min="5" max="5" width="13.42578125" customWidth="1"/>
    <col min="6" max="6" width="18.7109375" customWidth="1"/>
    <col min="7" max="7" width="12.7109375" customWidth="1"/>
  </cols>
  <sheetData>
    <row r="1" spans="1:7">
      <c r="A1" t="s">
        <v>30</v>
      </c>
      <c r="B1" t="s">
        <v>2</v>
      </c>
      <c r="C1" t="s">
        <v>7</v>
      </c>
      <c r="D1" t="s">
        <v>31</v>
      </c>
      <c r="E1" t="s">
        <v>0</v>
      </c>
      <c r="F1" t="s">
        <v>5</v>
      </c>
      <c r="G1" t="s">
        <v>32</v>
      </c>
    </row>
    <row r="2" spans="1:7">
      <c r="A2" t="s">
        <v>33</v>
      </c>
      <c r="B2" t="s">
        <v>11</v>
      </c>
      <c r="C2" s="3">
        <v>46086</v>
      </c>
      <c r="D2">
        <v>1200</v>
      </c>
      <c r="E2" t="s">
        <v>10</v>
      </c>
      <c r="F2">
        <f>IFERROR(VLOOKUP(E2,Invoices!B:I,5,FALSE),"")</f>
        <v>1200</v>
      </c>
      <c r="G2" t="str">
        <f>IF(D2=F2,"Match","Mismatch")</f>
        <v>Match</v>
      </c>
    </row>
    <row r="3" spans="1:7">
      <c r="A3" t="s">
        <v>34</v>
      </c>
      <c r="B3" t="s">
        <v>13</v>
      </c>
      <c r="C3" s="3">
        <v>46091</v>
      </c>
      <c r="D3">
        <v>400</v>
      </c>
      <c r="E3" t="s">
        <v>12</v>
      </c>
      <c r="F3">
        <f>IFERROR(VLOOKUP(E3,Invoices!B:I,5,FALSE),"")</f>
        <v>800</v>
      </c>
      <c r="G3" t="str">
        <f>IF(D3=F3,"Match","Mismatch")</f>
        <v>Mismatch</v>
      </c>
    </row>
    <row r="4" spans="1:7">
      <c r="A4" t="s">
        <v>35</v>
      </c>
      <c r="B4" t="s">
        <v>17</v>
      </c>
      <c r="C4" s="3">
        <v>46099</v>
      </c>
      <c r="D4">
        <v>1500</v>
      </c>
      <c r="E4" t="s">
        <v>36</v>
      </c>
      <c r="F4">
        <f>IFERROR(VLOOKUP(E4,Invoices!B:I,5,FALSE),"")</f>
        <v>1500</v>
      </c>
      <c r="G4" t="str">
        <f>IF(D4=F4,"Match","Mismatch")</f>
        <v>Match</v>
      </c>
    </row>
    <row r="5" spans="1:7">
      <c r="A5" t="s">
        <v>37</v>
      </c>
      <c r="B5" t="s">
        <v>21</v>
      </c>
      <c r="C5" s="3">
        <v>46096</v>
      </c>
      <c r="D5">
        <v>600</v>
      </c>
      <c r="E5" t="s">
        <v>20</v>
      </c>
      <c r="F5">
        <f>IFERROR(VLOOKUP(E5,Invoices!B:I,5,FALSE),"")</f>
        <v>600</v>
      </c>
      <c r="G5" t="str">
        <f>IF(D5=F5,"Match","Mismatch")</f>
        <v>Match</v>
      </c>
    </row>
    <row r="6" spans="1:7">
      <c r="A6" t="s">
        <v>38</v>
      </c>
      <c r="B6" t="s">
        <v>27</v>
      </c>
      <c r="C6" s="3">
        <v>46106</v>
      </c>
      <c r="D6">
        <v>2000</v>
      </c>
      <c r="E6" t="s">
        <v>26</v>
      </c>
      <c r="F6">
        <f>IFERROR(VLOOKUP(E6,Invoices!B:I,5,FALSE),"")</f>
        <v>2000</v>
      </c>
      <c r="G6" t="str">
        <f>IF(D6=F6,"Match","Mismatch")</f>
        <v>Match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C6725-F8D1-4CD0-B636-A1CD61065EB7}">
  <dimension ref="A1:C12"/>
  <sheetViews>
    <sheetView workbookViewId="0">
      <selection activeCell="D20" sqref="D20"/>
    </sheetView>
  </sheetViews>
  <sheetFormatPr defaultRowHeight="15"/>
  <cols>
    <col min="1" max="1" width="24" customWidth="1"/>
    <col min="2" max="2" width="22.85546875" customWidth="1"/>
    <col min="3" max="3" width="27.140625" customWidth="1"/>
  </cols>
  <sheetData>
    <row r="1" spans="1:3">
      <c r="A1" s="7" t="s">
        <v>2</v>
      </c>
      <c r="B1" t="s">
        <v>39</v>
      </c>
      <c r="C1" t="s">
        <v>40</v>
      </c>
    </row>
    <row r="2" spans="1:3">
      <c r="A2" t="s">
        <v>19</v>
      </c>
      <c r="B2">
        <v>950</v>
      </c>
      <c r="C2" s="4">
        <v>950</v>
      </c>
    </row>
    <row r="3" spans="1:3">
      <c r="A3" t="s">
        <v>29</v>
      </c>
      <c r="B3">
        <v>400</v>
      </c>
      <c r="C3" s="4">
        <v>400</v>
      </c>
    </row>
    <row r="4" spans="1:3">
      <c r="A4" t="s">
        <v>25</v>
      </c>
      <c r="B4">
        <v>700</v>
      </c>
      <c r="C4" s="4">
        <v>700</v>
      </c>
    </row>
    <row r="5" spans="1:3">
      <c r="A5" t="s">
        <v>13</v>
      </c>
      <c r="B5">
        <v>800</v>
      </c>
      <c r="C5" s="4">
        <v>400</v>
      </c>
    </row>
    <row r="6" spans="1:3">
      <c r="A6" t="s">
        <v>15</v>
      </c>
      <c r="B6">
        <v>500</v>
      </c>
      <c r="C6" s="4">
        <v>500</v>
      </c>
    </row>
    <row r="7" spans="1:3">
      <c r="A7" t="s">
        <v>17</v>
      </c>
      <c r="B7">
        <v>1500</v>
      </c>
      <c r="C7" s="4">
        <v>0</v>
      </c>
    </row>
    <row r="8" spans="1:3">
      <c r="A8" t="s">
        <v>21</v>
      </c>
      <c r="B8">
        <v>600</v>
      </c>
      <c r="C8" s="4">
        <v>0</v>
      </c>
    </row>
    <row r="9" spans="1:3">
      <c r="A9" t="s">
        <v>27</v>
      </c>
      <c r="B9">
        <v>2000</v>
      </c>
      <c r="C9" s="4">
        <v>0</v>
      </c>
    </row>
    <row r="10" spans="1:3">
      <c r="A10" t="s">
        <v>23</v>
      </c>
      <c r="B10">
        <v>1100</v>
      </c>
      <c r="C10" s="4">
        <v>600</v>
      </c>
    </row>
    <row r="11" spans="1:3">
      <c r="A11" t="s">
        <v>11</v>
      </c>
      <c r="B11">
        <v>1200</v>
      </c>
      <c r="C11" s="4">
        <v>0</v>
      </c>
    </row>
    <row r="12" spans="1:3">
      <c r="A12" t="s">
        <v>41</v>
      </c>
      <c r="B12">
        <v>9750</v>
      </c>
      <c r="C12" s="4">
        <v>3550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2026-03-26T01:11:22Z</dcterms:created>
  <dcterms:modified xsi:type="dcterms:W3CDTF">2026-03-26T16:59:05Z</dcterms:modified>
  <cp:category/>
  <cp:contentStatus/>
</cp:coreProperties>
</file>